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3532778_ad_unsw_edu_au/Documents/_Papers/ARDL_ContainerTerminal/"/>
    </mc:Choice>
  </mc:AlternateContent>
  <xr:revisionPtr revIDLastSave="15" documentId="8_{C58F0636-2FBD-44A5-8B8F-34FFB78D023B}" xr6:coauthVersionLast="47" xr6:coauthVersionMax="47" xr10:uidLastSave="{7AB06775-7E35-409C-A9FA-DCC90F9CA18B}"/>
  <bookViews>
    <workbookView xWindow="-98" yWindow="-98" windowWidth="19396" windowHeight="11475" tabRatio="500" xr2:uid="{00000000-000D-0000-FFFF-FFFF00000000}"/>
  </bookViews>
  <sheets>
    <sheet name="Prediction Calculator" sheetId="1" r:id="rId1"/>
    <sheet name="Coefficient Reference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26" i="1" l="1"/>
  <c r="N26" i="1"/>
  <c r="M26" i="1"/>
  <c r="L26" i="1"/>
  <c r="I26" i="1"/>
  <c r="J26" i="1" s="1"/>
  <c r="H26" i="1"/>
  <c r="K26" i="1" s="1"/>
  <c r="G26" i="1"/>
  <c r="F26" i="1"/>
  <c r="E26" i="1"/>
  <c r="D26" i="1"/>
  <c r="O25" i="1"/>
  <c r="N25" i="1"/>
  <c r="M25" i="1"/>
  <c r="L25" i="1"/>
  <c r="K25" i="1"/>
  <c r="J25" i="1"/>
  <c r="I25" i="1"/>
  <c r="H25" i="1"/>
  <c r="G25" i="1"/>
  <c r="F25" i="1"/>
  <c r="E25" i="1"/>
  <c r="D25" i="1"/>
  <c r="O24" i="1"/>
  <c r="N24" i="1"/>
  <c r="M24" i="1"/>
  <c r="L24" i="1"/>
  <c r="K24" i="1"/>
  <c r="J24" i="1"/>
  <c r="I24" i="1"/>
  <c r="H24" i="1"/>
  <c r="G24" i="1"/>
  <c r="F24" i="1"/>
  <c r="E24" i="1"/>
  <c r="D24" i="1"/>
  <c r="O23" i="1"/>
  <c r="N23" i="1"/>
  <c r="M23" i="1"/>
  <c r="L23" i="1"/>
  <c r="K23" i="1"/>
  <c r="J23" i="1"/>
  <c r="I23" i="1"/>
  <c r="H23" i="1"/>
  <c r="G23" i="1"/>
  <c r="F23" i="1"/>
  <c r="E23" i="1"/>
  <c r="D23" i="1"/>
  <c r="O22" i="1"/>
  <c r="N22" i="1"/>
  <c r="M22" i="1"/>
  <c r="L22" i="1"/>
  <c r="K22" i="1"/>
  <c r="J22" i="1"/>
  <c r="I22" i="1"/>
  <c r="H22" i="1"/>
  <c r="G22" i="1"/>
  <c r="F22" i="1"/>
  <c r="E22" i="1"/>
  <c r="D22" i="1"/>
  <c r="O21" i="1"/>
  <c r="N21" i="1"/>
  <c r="M21" i="1"/>
  <c r="L21" i="1"/>
  <c r="K21" i="1"/>
  <c r="J21" i="1"/>
  <c r="I21" i="1"/>
  <c r="H21" i="1"/>
  <c r="G21" i="1"/>
  <c r="F21" i="1"/>
  <c r="E21" i="1"/>
  <c r="D21" i="1"/>
  <c r="O17" i="1"/>
  <c r="N17" i="1"/>
  <c r="M17" i="1"/>
  <c r="L17" i="1"/>
  <c r="I17" i="1"/>
  <c r="H17" i="1"/>
  <c r="G17" i="1"/>
  <c r="F17" i="1"/>
  <c r="E17" i="1"/>
  <c r="K17" i="1" s="1"/>
  <c r="D17" i="1"/>
  <c r="J17" i="1" s="1"/>
  <c r="O16" i="1"/>
  <c r="N16" i="1"/>
  <c r="M16" i="1"/>
  <c r="L16" i="1"/>
  <c r="I16" i="1"/>
  <c r="H16" i="1"/>
  <c r="G16" i="1"/>
  <c r="F16" i="1"/>
  <c r="E16" i="1"/>
  <c r="K16" i="1" s="1"/>
  <c r="D16" i="1"/>
  <c r="J16" i="1" s="1"/>
  <c r="O15" i="1"/>
  <c r="N15" i="1"/>
  <c r="M15" i="1"/>
  <c r="L15" i="1"/>
  <c r="K15" i="1"/>
  <c r="J15" i="1"/>
  <c r="I15" i="1"/>
  <c r="H15" i="1"/>
  <c r="G15" i="1"/>
  <c r="F15" i="1"/>
  <c r="E15" i="1"/>
  <c r="D15" i="1"/>
  <c r="O14" i="1"/>
  <c r="N14" i="1"/>
  <c r="M14" i="1"/>
  <c r="L14" i="1"/>
  <c r="K14" i="1"/>
  <c r="J14" i="1"/>
  <c r="I14" i="1"/>
  <c r="H14" i="1"/>
  <c r="G14" i="1"/>
  <c r="F14" i="1"/>
  <c r="E14" i="1"/>
  <c r="D14" i="1"/>
</calcChain>
</file>

<file path=xl/sharedStrings.xml><?xml version="1.0" encoding="utf-8"?>
<sst xmlns="http://schemas.openxmlformats.org/spreadsheetml/2006/main" count="129" uniqueCount="93">
  <si>
    <t>Truck Booking Prediction Tool — Port Botany</t>
  </si>
  <si>
    <t>IMPORT section: enter vessel arrivals today → bookings shown for each day AFTER arrival.  EXPORT section: enter days until vessel departure → bookings shown for each day BEFORE departure.</t>
  </si>
  <si>
    <t>INPUTS</t>
  </si>
  <si>
    <t>T1: vessel ARRIVALS today (count):</t>
  </si>
  <si>
    <t>T1: vessel DEPARTURES in how many days?</t>
  </si>
  <si>
    <t>T2: vessel ARRIVALS today (count):</t>
  </si>
  <si>
    <t>T2: vessel DEPARTURES in how many days?</t>
  </si>
  <si>
    <t>Tip: The 'Baseline' column shows historical daily averages (Sep–Dec 2022) — type any number to set your own demand level. The 'Validity range' column shows whether your baseline is within (✓), near the edge of (⚠), or outside (✗) the range observed in the training data. The DL coefficients are most reliable when the baseline is in the ✓ zone. Outside that range, treat predictions as indicative only.</t>
  </si>
  <si>
    <t>Series</t>
  </si>
  <si>
    <t>Baseline
(edit me!)</t>
  </si>
  <si>
    <t>Day 0
(arrival
day)</t>
  </si>
  <si>
    <t>Day +1
(next day)</t>
  </si>
  <si>
    <t>Day +2</t>
  </si>
  <si>
    <t>Day +3</t>
  </si>
  <si>
    <t>Day +4</t>
  </si>
  <si>
    <t>Day +5</t>
  </si>
  <si>
    <t>Total
Day 0
(baseline
+ extra)</t>
  </si>
  <si>
    <t>Total
Day 1
(baseline
+ extra)</t>
  </si>
  <si>
    <t>2-day Σ
(0+1)</t>
  </si>
  <si>
    <t>3-day Σ
(0+1+2)</t>
  </si>
  <si>
    <t>Long-run Σ</t>
  </si>
  <si>
    <t>Validity
range</t>
  </si>
  <si>
    <t>Historical range
(p10 – p90 | max)</t>
  </si>
  <si>
    <t>T1: Import</t>
  </si>
  <si>
    <t>318 – 911 | max 972</t>
  </si>
  <si>
    <t>T1: Stack-run import</t>
  </si>
  <si>
    <t>27 – 148 | max 203</t>
  </si>
  <si>
    <t>T2: Import</t>
  </si>
  <si>
    <t>356 – 935 | max 990</t>
  </si>
  <si>
    <t>T2: Stack-run import</t>
  </si>
  <si>
    <t>10 – 97 | max 150</t>
  </si>
  <si>
    <t>Day −5
(5d before
dep)</t>
  </si>
  <si>
    <t>Day −4</t>
  </si>
  <si>
    <t>Day −3</t>
  </si>
  <si>
    <t>Day −2</t>
  </si>
  <si>
    <t>Day −1
(1d before
dep)</t>
  </si>
  <si>
    <t>Departure
day
(Day 0)</t>
  </si>
  <si>
    <t>Total
Dep. day
(baseline
+ extra)</t>
  </si>
  <si>
    <t>Total
Day −1
(baseline
+ extra)</t>
  </si>
  <si>
    <t>2-day Σ
(−1 &amp; 0)</t>
  </si>
  <si>
    <t>7-day Σ
(−6 to 0)</t>
  </si>
  <si>
    <t>T1: Export</t>
  </si>
  <si>
    <t>62 – 325 | max 422</t>
  </si>
  <si>
    <t>T1: Stack-run full export</t>
  </si>
  <si>
    <t>10 – 80 | max 149</t>
  </si>
  <si>
    <t>T1: Stack-run empty export</t>
  </si>
  <si>
    <t>152 – 649 | max 730</t>
  </si>
  <si>
    <t>T2: Export</t>
  </si>
  <si>
    <t>42 – 202 | max 307</t>
  </si>
  <si>
    <t>T2: Stack-run full export</t>
  </si>
  <si>
    <t>9 – 74 | max 163</t>
  </si>
  <si>
    <t>T2: Stack-run empty export</t>
  </si>
  <si>
    <t>196 – 657 | max 784</t>
  </si>
  <si>
    <t>Bold green (import) / Bold red (export) = statistically significant (p&lt;0.05). Grey italic = not significant.</t>
  </si>
  <si>
    <t>Blue 'Total' columns = Baseline + vessel-event-driven additional bookings combined.</t>
  </si>
  <si>
    <t>Yellow cells = editable inputs: vessel event counts (top) and baseline demand (in table). Change any yellow cell and all outputs recalculate instantly.</t>
  </si>
  <si>
    <t>IMPORT: Day 0 = arrival day. EXPORT: Day −1 = 1 day before departure (key finding for T1).</t>
  </si>
  <si>
    <t>Distributed Lag Coefficients — AR(1)-DL Model (HC3 Robust SE)</t>
  </si>
  <si>
    <t>β(lag k) = additional bookings when vessel event occurred k days ago. IMPORT: positive lag = days after arrival. EXPORT: lag k reframed as k days before departure. Bold = p&lt;0.05.</t>
  </si>
  <si>
    <t>Temporal direction</t>
  </si>
  <si>
    <t>Baseline</t>
  </si>
  <si>
    <t>Vessel event</t>
  </si>
  <si>
    <t>β lag 0</t>
  </si>
  <si>
    <t>β lag 1</t>
  </si>
  <si>
    <t>β lag 2</t>
  </si>
  <si>
    <t>β lag 3</t>
  </si>
  <si>
    <t>β lag 4</t>
  </si>
  <si>
    <t>β lag 5</t>
  </si>
  <si>
    <t>β lag 6</t>
  </si>
  <si>
    <t>β lag 7</t>
  </si>
  <si>
    <t>β lag 8</t>
  </si>
  <si>
    <t>β lag 9</t>
  </si>
  <si>
    <t>2d Σβ</t>
  </si>
  <si>
    <t>FS Σβ</t>
  </si>
  <si>
    <t>LR</t>
  </si>
  <si>
    <t>R²</t>
  </si>
  <si>
    <t>After arrival</t>
  </si>
  <si>
    <t>ARR</t>
  </si>
  <si>
    <t>—</t>
  </si>
  <si>
    <t>Before departure</t>
  </si>
  <si>
    <t>DEP</t>
  </si>
  <si>
    <t>T1 Stack-run full export</t>
  </si>
  <si>
    <t>T1 Export</t>
  </si>
  <si>
    <t>T1 Import</t>
  </si>
  <si>
    <t>T1 Stack-run empty export</t>
  </si>
  <si>
    <t>T1 Stack-run import</t>
  </si>
  <si>
    <t>T2 Import</t>
  </si>
  <si>
    <t>T2 Export</t>
  </si>
  <si>
    <t>T2 Srack-run full export</t>
  </si>
  <si>
    <t>T2 Stack-run empty export</t>
  </si>
  <si>
    <t>T2 Stack-run import</t>
  </si>
  <si>
    <t>EXPORT &amp; STACK-RUN EXPORT timeslots — Extra bookings on each day BEFORE vessel DEPARTURE</t>
  </si>
  <si>
    <t>IMPORT &amp; STACK-RUN IMPORT timeslots — Extra bookings on each day AFTER vessel ARRIVAL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</si>
</sst>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+#,##0;\-#,##0;0"/>
    <numFmt numFmtId="165" formatCode="\+0.00;\-0.00;0.00"/>
    <numFmt numFmtId="166" formatCode="\+0.0;\-0.0;0"/>
    <numFmt numFmtId="167" formatCode="0.000"/>
  </numFmts>
  <fonts count="21" x14ac:knownFonts="1">
    <font>
      <sz val="11"/>
      <color theme="1"/>
      <name val="Calibri"/>
      <family val="2"/>
      <charset val="1"/>
    </font>
    <font>
      <b/>
      <sz val="13"/>
      <color rgb="FF1E3A5F"/>
      <name val="Arial"/>
      <family val="2"/>
    </font>
    <font>
      <i/>
      <sz val="9"/>
      <color rgb="FF555555"/>
      <name val="Arial"/>
      <family val="2"/>
    </font>
    <font>
      <b/>
      <sz val="11"/>
      <color rgb="FF1E3A5F"/>
      <name val="Arial"/>
      <family val="2"/>
    </font>
    <font>
      <b/>
      <sz val="10"/>
      <color rgb="FF000000"/>
      <name val="Arial"/>
      <family val="2"/>
    </font>
    <font>
      <b/>
      <sz val="12"/>
      <color rgb="FF1E3A5F"/>
      <name val="Arial"/>
      <family val="2"/>
    </font>
    <font>
      <i/>
      <sz val="9"/>
      <color rgb="FF0369A1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b/>
      <sz val="10"/>
      <color rgb="FF1E6B1E"/>
      <name val="Arial"/>
      <family val="2"/>
    </font>
    <font>
      <i/>
      <sz val="10"/>
      <color rgb="FF888888"/>
      <name val="Arial"/>
      <family val="2"/>
    </font>
    <font>
      <b/>
      <sz val="10"/>
      <color rgb="FF0369A1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991B1B"/>
      <name val="Arial"/>
      <family val="2"/>
    </font>
    <font>
      <sz val="10"/>
      <color rgb="FF1E6B1E"/>
      <name val="Arial"/>
      <family val="2"/>
    </font>
    <font>
      <sz val="10"/>
      <color rgb="FF0369A1"/>
      <name val="Arial"/>
      <family val="2"/>
    </font>
    <font>
      <b/>
      <sz val="10"/>
      <color rgb="FF1E3A5F"/>
      <name val="Arial"/>
      <family val="2"/>
    </font>
    <font>
      <sz val="10"/>
      <color rgb="FF991B1B"/>
      <name val="Arial"/>
      <family val="2"/>
    </font>
    <font>
      <i/>
      <sz val="10"/>
      <color rgb="FFAAAAAA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EFF6FF"/>
        <bgColor rgb="FFF0F9FF"/>
      </patternFill>
    </fill>
    <fill>
      <patternFill patternType="solid">
        <fgColor rgb="FFFEFCE8"/>
        <bgColor rgb="FFFFF7ED"/>
      </patternFill>
    </fill>
    <fill>
      <patternFill patternType="solid">
        <fgColor rgb="FFFFF1F2"/>
        <bgColor rgb="FFFFF7ED"/>
      </patternFill>
    </fill>
    <fill>
      <patternFill patternType="solid">
        <fgColor rgb="FFFFF7ED"/>
        <bgColor rgb="FFFEFCE8"/>
      </patternFill>
    </fill>
    <fill>
      <patternFill patternType="solid">
        <fgColor rgb="FFFFEDD5"/>
        <bgColor rgb="FFFEE2E2"/>
      </patternFill>
    </fill>
    <fill>
      <patternFill patternType="solid">
        <fgColor rgb="FFF0F9FF"/>
        <bgColor rgb="FFEFF6FF"/>
      </patternFill>
    </fill>
    <fill>
      <patternFill patternType="solid">
        <fgColor rgb="FF1E4070"/>
        <bgColor rgb="FF1E3A5F"/>
      </patternFill>
    </fill>
    <fill>
      <patternFill patternType="solid">
        <fgColor rgb="FF0369A1"/>
        <bgColor rgb="FF008080"/>
      </patternFill>
    </fill>
    <fill>
      <patternFill patternType="solid">
        <fgColor rgb="FFF0FDF4"/>
        <bgColor rgb="FFF0F9FF"/>
      </patternFill>
    </fill>
    <fill>
      <patternFill patternType="solid">
        <fgColor rgb="FFF3F4F6"/>
        <bgColor rgb="FFEFF6FF"/>
      </patternFill>
    </fill>
    <fill>
      <patternFill patternType="solid">
        <fgColor rgb="FFF9FAFB"/>
        <bgColor rgb="FFF0F9FF"/>
      </patternFill>
    </fill>
    <fill>
      <patternFill patternType="solid">
        <fgColor rgb="FF7C2D12"/>
        <bgColor rgb="FF991B1B"/>
      </patternFill>
    </fill>
    <fill>
      <patternFill patternType="solid">
        <fgColor rgb="FFFEE2E2"/>
        <bgColor rgb="FFFFEDD5"/>
      </patternFill>
    </fill>
    <fill>
      <patternFill patternType="solid">
        <fgColor rgb="FF1E3A5F"/>
        <bgColor rgb="FF1E407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1E3A5F"/>
      </top>
      <bottom style="thin">
        <color rgb="FFCCCCCC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9" fillId="14" borderId="1" xfId="0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left" vertical="center" wrapText="1"/>
    </xf>
    <xf numFmtId="0" fontId="17" fillId="7" borderId="1" xfId="0" applyFont="1" applyFill="1" applyBorder="1" applyAlignment="1">
      <alignment horizontal="left" vertical="center" wrapText="1"/>
    </xf>
    <xf numFmtId="0" fontId="16" fillId="10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/>
    </xf>
    <xf numFmtId="164" fontId="10" fillId="10" borderId="1" xfId="0" applyNumberFormat="1" applyFont="1" applyFill="1" applyBorder="1" applyAlignment="1">
      <alignment horizontal="center" vertical="center"/>
    </xf>
    <xf numFmtId="164" fontId="11" fillId="11" borderId="1" xfId="0" applyNumberFormat="1" applyFont="1" applyFill="1" applyBorder="1" applyAlignment="1">
      <alignment horizontal="center" vertical="center"/>
    </xf>
    <xf numFmtId="3" fontId="12" fillId="7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164" fontId="15" fillId="14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left" vertical="center"/>
    </xf>
    <xf numFmtId="3" fontId="14" fillId="2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165" fontId="10" fillId="10" borderId="1" xfId="0" applyNumberFormat="1" applyFont="1" applyFill="1" applyBorder="1" applyAlignment="1">
      <alignment horizontal="center" vertical="center"/>
    </xf>
    <xf numFmtId="165" fontId="11" fillId="11" borderId="1" xfId="0" applyNumberFormat="1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/>
    </xf>
    <xf numFmtId="167" fontId="4" fillId="2" borderId="1" xfId="0" applyNumberFormat="1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left" vertical="center"/>
    </xf>
    <xf numFmtId="3" fontId="14" fillId="4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165" fontId="15" fillId="14" borderId="1" xfId="0" applyNumberFormat="1" applyFont="1" applyFill="1" applyBorder="1" applyAlignment="1">
      <alignment horizontal="center" vertical="center"/>
    </xf>
    <xf numFmtId="166" fontId="4" fillId="4" borderId="1" xfId="0" applyNumberFormat="1" applyFont="1" applyFill="1" applyBorder="1" applyAlignment="1">
      <alignment horizontal="center" vertical="center"/>
    </xf>
    <xf numFmtId="167" fontId="4" fillId="4" borderId="1" xfId="0" applyNumberFormat="1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left" vertical="center"/>
    </xf>
    <xf numFmtId="3" fontId="14" fillId="5" borderId="1" xfId="0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166" fontId="4" fillId="5" borderId="1" xfId="0" applyNumberFormat="1" applyFont="1" applyFill="1" applyBorder="1" applyAlignment="1">
      <alignment horizontal="center" vertical="center"/>
    </xf>
    <xf numFmtId="167" fontId="4" fillId="5" borderId="1" xfId="0" applyNumberFormat="1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left" vertical="center"/>
    </xf>
    <xf numFmtId="3" fontId="14" fillId="6" borderId="1" xfId="0" applyNumberFormat="1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166" fontId="4" fillId="6" borderId="1" xfId="0" applyNumberFormat="1" applyFont="1" applyFill="1" applyBorder="1" applyAlignment="1">
      <alignment horizontal="center" vertical="center"/>
    </xf>
    <xf numFmtId="167" fontId="4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sz val="9"/>
        <color rgb="FF991B1B"/>
        <name val="Arial"/>
        <charset val="1"/>
      </font>
      <fill>
        <patternFill>
          <bgColor rgb="FFFEE2E2"/>
        </patternFill>
      </fill>
    </dxf>
    <dxf>
      <font>
        <b/>
        <sz val="9"/>
        <color rgb="FF854D0E"/>
        <name val="Arial"/>
        <charset val="1"/>
      </font>
      <fill>
        <patternFill>
          <bgColor rgb="FFFEF9C3"/>
        </patternFill>
      </fill>
    </dxf>
    <dxf>
      <font>
        <b/>
        <sz val="9"/>
        <color rgb="FF166534"/>
        <name val="Arial"/>
        <charset val="1"/>
      </font>
      <fill>
        <patternFill>
          <bgColor rgb="FFDCFCE7"/>
        </patternFill>
      </fill>
    </dxf>
    <dxf>
      <font>
        <b/>
        <sz val="9"/>
        <color rgb="FF991B1B"/>
        <name val="Arial"/>
        <charset val="1"/>
      </font>
      <fill>
        <patternFill>
          <bgColor rgb="FFFEE2E2"/>
        </patternFill>
      </fill>
    </dxf>
    <dxf>
      <font>
        <b/>
        <sz val="9"/>
        <color rgb="FF854D0E"/>
        <name val="Arial"/>
        <charset val="1"/>
      </font>
      <fill>
        <patternFill>
          <bgColor rgb="FFFEF9C3"/>
        </patternFill>
      </fill>
    </dxf>
    <dxf>
      <font>
        <b/>
        <sz val="9"/>
        <color rgb="FF166534"/>
        <name val="Arial"/>
        <charset val="1"/>
      </font>
      <fill>
        <patternFill>
          <bgColor rgb="FFDCFCE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EFCE8"/>
      <rgbColor rgb="FFFF00FF"/>
      <rgbColor rgb="FF00FFFF"/>
      <rgbColor rgb="FF991B1B"/>
      <rgbColor rgb="FF1E6B1E"/>
      <rgbColor rgb="FF000080"/>
      <rgbColor rgb="FF808000"/>
      <rgbColor rgb="FF800080"/>
      <rgbColor rgb="FF166534"/>
      <rgbColor rgb="FFCCCCCC"/>
      <rgbColor rgb="FF888888"/>
      <rgbColor rgb="FF9999FF"/>
      <rgbColor rgb="FF854D0E"/>
      <rgbColor rgb="FFFEF9C3"/>
      <rgbColor rgb="FFDCFCE7"/>
      <rgbColor rgb="FF660066"/>
      <rgbColor rgb="FFFF8080"/>
      <rgbColor rgb="FF0369A1"/>
      <rgbColor rgb="FFEFF6FF"/>
      <rgbColor rgb="FF000080"/>
      <rgbColor rgb="FFFF00FF"/>
      <rgbColor rgb="FFF9FAFB"/>
      <rgbColor rgb="FF00FFFF"/>
      <rgbColor rgb="FF800080"/>
      <rgbColor rgb="FF800000"/>
      <rgbColor rgb="FF008080"/>
      <rgbColor rgb="FF0000FF"/>
      <rgbColor rgb="FF00CCFF"/>
      <rgbColor rgb="FFF0FDF4"/>
      <rgbColor rgb="FFF0F9FF"/>
      <rgbColor rgb="FFFFEDD5"/>
      <rgbColor rgb="FFF3F4F6"/>
      <rgbColor rgb="FFFFF1F2"/>
      <rgbColor rgb="FFFFF7ED"/>
      <rgbColor rgb="FFFEE2E2"/>
      <rgbColor rgb="FF2563EB"/>
      <rgbColor rgb="FF33CCCC"/>
      <rgbColor rgb="FF99CC00"/>
      <rgbColor rgb="FFFFCC00"/>
      <rgbColor rgb="FFFF9900"/>
      <rgbColor rgb="FFFF6600"/>
      <rgbColor rgb="FF555555"/>
      <rgbColor rgb="FFAAAAAA"/>
      <rgbColor rgb="FF1E3A5F"/>
      <rgbColor rgb="FF16A34A"/>
      <rgbColor rgb="FF003300"/>
      <rgbColor rgb="FF333300"/>
      <rgbColor rgb="FF7C2D12"/>
      <rgbColor rgb="FF993366"/>
      <rgbColor rgb="FF1E407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3A5F"/>
  </sheetPr>
  <dimension ref="B2:P32"/>
  <sheetViews>
    <sheetView showGridLines="0" tabSelected="1" topLeftCell="A16" zoomScaleNormal="100" workbookViewId="0">
      <selection activeCell="B14" sqref="B14"/>
    </sheetView>
  </sheetViews>
  <sheetFormatPr defaultColWidth="8.6640625" defaultRowHeight="14.25" x14ac:dyDescent="0.45"/>
  <cols>
    <col min="1" max="1" width="2" customWidth="1"/>
    <col min="2" max="2" width="26" customWidth="1"/>
    <col min="3" max="3" width="12" customWidth="1"/>
    <col min="4" max="5" width="11" customWidth="1"/>
    <col min="6" max="9" width="10" customWidth="1"/>
    <col min="10" max="11" width="8" customWidth="1"/>
    <col min="12" max="13" width="12" customWidth="1"/>
    <col min="14" max="14" width="13" customWidth="1"/>
    <col min="15" max="15" width="24" customWidth="1"/>
    <col min="16" max="16" width="22" customWidth="1"/>
  </cols>
  <sheetData>
    <row r="2" spans="2:16" ht="21.75" customHeight="1" x14ac:dyDescent="0.45">
      <c r="B2" s="13" t="s">
        <v>0</v>
      </c>
    </row>
    <row r="3" spans="2:16" ht="27.75" customHeight="1" x14ac:dyDescent="0.45">
      <c r="B3" s="12" t="s">
        <v>1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5" spans="2:16" ht="15" customHeight="1" x14ac:dyDescent="0.45">
      <c r="B5" s="14" t="s">
        <v>2</v>
      </c>
    </row>
    <row r="6" spans="2:16" ht="21.75" customHeight="1" x14ac:dyDescent="0.45">
      <c r="B6" s="11" t="s">
        <v>3</v>
      </c>
      <c r="C6" s="11"/>
      <c r="D6" s="11"/>
      <c r="E6" s="16">
        <v>1</v>
      </c>
    </row>
    <row r="7" spans="2:16" ht="21.75" customHeight="1" x14ac:dyDescent="0.45">
      <c r="B7" s="10" t="s">
        <v>4</v>
      </c>
      <c r="C7" s="10"/>
      <c r="D7" s="10"/>
      <c r="E7" s="16">
        <v>3</v>
      </c>
    </row>
    <row r="8" spans="2:16" ht="21.75" customHeight="1" x14ac:dyDescent="0.45">
      <c r="B8" s="9" t="s">
        <v>5</v>
      </c>
      <c r="C8" s="9"/>
      <c r="D8" s="9"/>
      <c r="E8" s="16">
        <v>0</v>
      </c>
    </row>
    <row r="9" spans="2:16" ht="21.75" customHeight="1" x14ac:dyDescent="0.45">
      <c r="B9" s="8" t="s">
        <v>6</v>
      </c>
      <c r="C9" s="8"/>
      <c r="D9" s="8"/>
      <c r="E9" s="16">
        <v>3</v>
      </c>
    </row>
    <row r="10" spans="2:16" ht="36" customHeight="1" x14ac:dyDescent="0.45">
      <c r="B10" s="7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2:16" ht="6" customHeight="1" x14ac:dyDescent="0.45"/>
    <row r="12" spans="2:16" ht="21.75" customHeight="1" x14ac:dyDescent="0.45">
      <c r="B12" s="6" t="s">
        <v>92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2:16" ht="51.75" customHeight="1" x14ac:dyDescent="0.45">
      <c r="B13" s="19" t="s">
        <v>8</v>
      </c>
      <c r="C13" s="20" t="s">
        <v>9</v>
      </c>
      <c r="D13" s="19" t="s">
        <v>10</v>
      </c>
      <c r="E13" s="19" t="s">
        <v>11</v>
      </c>
      <c r="F13" s="19" t="s">
        <v>12</v>
      </c>
      <c r="G13" s="19" t="s">
        <v>13</v>
      </c>
      <c r="H13" s="19" t="s">
        <v>14</v>
      </c>
      <c r="I13" s="19" t="s">
        <v>15</v>
      </c>
      <c r="J13" s="21" t="s">
        <v>16</v>
      </c>
      <c r="K13" s="21" t="s">
        <v>17</v>
      </c>
      <c r="L13" s="19" t="s">
        <v>18</v>
      </c>
      <c r="M13" s="19" t="s">
        <v>19</v>
      </c>
      <c r="N13" s="19" t="s">
        <v>20</v>
      </c>
      <c r="O13" s="20" t="s">
        <v>21</v>
      </c>
      <c r="P13" s="22" t="s">
        <v>22</v>
      </c>
    </row>
    <row r="14" spans="2:16" ht="21.75" customHeight="1" x14ac:dyDescent="0.45">
      <c r="B14" s="15" t="s">
        <v>23</v>
      </c>
      <c r="C14" s="23">
        <v>642</v>
      </c>
      <c r="D14" s="24">
        <f>ROUND(E6*91.94,0)</f>
        <v>92</v>
      </c>
      <c r="E14" s="24">
        <f>ROUND(E6*90.3,0)</f>
        <v>90</v>
      </c>
      <c r="F14" s="25">
        <f>ROUND(E6*51.01,0)</f>
        <v>51</v>
      </c>
      <c r="G14" s="25">
        <f>ROUND(E6*-66.82,0)</f>
        <v>-67</v>
      </c>
      <c r="H14" s="25">
        <f>ROUND(E6*-40.38,0)</f>
        <v>-40</v>
      </c>
      <c r="I14" s="25">
        <f>ROUND(E6*-54,0)</f>
        <v>-54</v>
      </c>
      <c r="J14" s="26">
        <f>IF(D14="—","—",C14+D14)</f>
        <v>734</v>
      </c>
      <c r="K14" s="26">
        <f>IF(E14="—","—",C14+E14)</f>
        <v>732</v>
      </c>
      <c r="L14" s="27">
        <f>ROUND(E6*182.24,0)</f>
        <v>182</v>
      </c>
      <c r="M14" s="27">
        <f>ROUND(E6*233.25,0)</f>
        <v>233</v>
      </c>
      <c r="N14" s="27">
        <f>ROUND(E6*215.1,0)</f>
        <v>215</v>
      </c>
      <c r="O14" s="28" t="str">
        <f>IF(C14&lt;159,"✗ Too low — extrapolation",IF(C14&lt;=911,"✓ Within historical range",IF(C14&lt;=972,"⚠ High — near observed max","✗ Above observed max — extrapolation")))</f>
        <v>✓ Within historical range</v>
      </c>
      <c r="P14" s="29" t="s">
        <v>24</v>
      </c>
    </row>
    <row r="15" spans="2:16" ht="21.75" customHeight="1" x14ac:dyDescent="0.45">
      <c r="B15" s="30" t="s">
        <v>25</v>
      </c>
      <c r="C15" s="23">
        <v>89</v>
      </c>
      <c r="D15" s="25">
        <f>ROUND(E6*-2.47,0)</f>
        <v>-2</v>
      </c>
      <c r="E15" s="25">
        <f>ROUND(E6*9.94,0)</f>
        <v>10</v>
      </c>
      <c r="F15" s="25">
        <f>ROUND(E6*2.08,0)</f>
        <v>2</v>
      </c>
      <c r="G15" s="25">
        <f>ROUND(E6*-3.35,0)</f>
        <v>-3</v>
      </c>
      <c r="H15" s="25">
        <f>ROUND(E6*-7.74,0)</f>
        <v>-8</v>
      </c>
      <c r="I15" s="25">
        <f>ROUND(E6*5.02,0)</f>
        <v>5</v>
      </c>
      <c r="J15" s="26">
        <f>IF(D15="—","—",C15+D15)</f>
        <v>87</v>
      </c>
      <c r="K15" s="26">
        <f>IF(E15="—","—",C15+E15)</f>
        <v>99</v>
      </c>
      <c r="L15" s="27">
        <f>ROUND(E6*7.47,0)</f>
        <v>7</v>
      </c>
      <c r="M15" s="27">
        <f>ROUND(E6*9.54,0)</f>
        <v>10</v>
      </c>
      <c r="N15" s="27">
        <f>ROUND(E6*-7,0)</f>
        <v>-7</v>
      </c>
      <c r="O15" s="28" t="str">
        <f>IF(C15&lt;14,"✗ Too low — extrapolation",IF(C15&lt;=148,"✓ Within historical range",IF(C15&lt;=203,"⚠ High — near observed max","✗ Above observed max — extrapolation")))</f>
        <v>✓ Within historical range</v>
      </c>
      <c r="P15" s="29" t="s">
        <v>26</v>
      </c>
    </row>
    <row r="16" spans="2:16" ht="21.75" customHeight="1" x14ac:dyDescent="0.45">
      <c r="B16" s="31" t="s">
        <v>27</v>
      </c>
      <c r="C16" s="23">
        <v>658</v>
      </c>
      <c r="D16" s="25">
        <f>ROUND(E8*36.47,0)</f>
        <v>0</v>
      </c>
      <c r="E16" s="25">
        <f>ROUND(E8*34.83,0)</f>
        <v>0</v>
      </c>
      <c r="F16" s="25">
        <f>ROUND(E8*4.77,0)</f>
        <v>0</v>
      </c>
      <c r="G16" s="25">
        <f>ROUND(E8*-11.17,0)</f>
        <v>0</v>
      </c>
      <c r="H16" s="25">
        <f>ROUND(E8*9.91,0)</f>
        <v>0</v>
      </c>
      <c r="I16" s="25">
        <f>ROUND(E8*19.35,0)</f>
        <v>0</v>
      </c>
      <c r="J16" s="26">
        <f>IF(D16="—","—",C16+D16)</f>
        <v>658</v>
      </c>
      <c r="K16" s="26">
        <f>IF(E16="—","—",C16+E16)</f>
        <v>658</v>
      </c>
      <c r="L16" s="32">
        <f>ROUND(E8*71.3,0)</f>
        <v>0</v>
      </c>
      <c r="M16" s="32">
        <f>ROUND(E8*76.08,0)</f>
        <v>0</v>
      </c>
      <c r="N16" s="32">
        <f>ROUND(E8*59,0)</f>
        <v>0</v>
      </c>
      <c r="O16" s="28" t="str">
        <f>IF(C16&lt;178,"✗ Too low — extrapolation",IF(C16&lt;=935,"✓ Within historical range",IF(C16&lt;=990,"⚠ High — near observed max","✗ Above observed max — extrapolation")))</f>
        <v>✓ Within historical range</v>
      </c>
      <c r="P16" s="33" t="s">
        <v>28</v>
      </c>
    </row>
    <row r="17" spans="2:16" ht="21.75" customHeight="1" x14ac:dyDescent="0.45">
      <c r="B17" s="31" t="s">
        <v>29</v>
      </c>
      <c r="C17" s="23">
        <v>55</v>
      </c>
      <c r="D17" s="25">
        <f>ROUND(E8*2.43,0)</f>
        <v>0</v>
      </c>
      <c r="E17" s="25">
        <f>ROUND(E8*2.91,0)</f>
        <v>0</v>
      </c>
      <c r="F17" s="25">
        <f>ROUND(E8*-0.39,0)</f>
        <v>0</v>
      </c>
      <c r="G17" s="25">
        <f>ROUND(E8*-0.91,0)</f>
        <v>0</v>
      </c>
      <c r="H17" s="25">
        <f>ROUND(E8*0.56,0)</f>
        <v>0</v>
      </c>
      <c r="I17" s="25">
        <f>ROUND(E8*-2.07,0)</f>
        <v>0</v>
      </c>
      <c r="J17" s="26">
        <f>IF(D17="—","—",C17+D17)</f>
        <v>55</v>
      </c>
      <c r="K17" s="26">
        <f>IF(E17="—","—",C17+E17)</f>
        <v>55</v>
      </c>
      <c r="L17" s="32">
        <f>ROUND(E8*5.34,0)</f>
        <v>0</v>
      </c>
      <c r="M17" s="32">
        <f>ROUND(E8*4.95,0)</f>
        <v>0</v>
      </c>
      <c r="N17" s="32">
        <f>ROUND(E8*2.3,0)</f>
        <v>0</v>
      </c>
      <c r="O17" s="28" t="str">
        <f>IF(C17&lt;5,"✗ Too low — extrapolation",IF(C17&lt;=97,"✓ Within historical range",IF(C17&lt;=150,"⚠ High — near observed max","✗ Above observed max — extrapolation")))</f>
        <v>✓ Within historical range</v>
      </c>
      <c r="P17" s="33" t="s">
        <v>30</v>
      </c>
    </row>
    <row r="18" spans="2:16" ht="7.5" customHeight="1" x14ac:dyDescent="0.45"/>
    <row r="19" spans="2:16" ht="21.75" customHeight="1" x14ac:dyDescent="0.45">
      <c r="B19" s="5" t="s">
        <v>91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2:16" ht="60" customHeight="1" x14ac:dyDescent="0.45">
      <c r="B20" s="34" t="s">
        <v>8</v>
      </c>
      <c r="C20" s="35" t="s">
        <v>9</v>
      </c>
      <c r="D20" s="34" t="s">
        <v>31</v>
      </c>
      <c r="E20" s="34" t="s">
        <v>32</v>
      </c>
      <c r="F20" s="34" t="s">
        <v>33</v>
      </c>
      <c r="G20" s="34" t="s">
        <v>34</v>
      </c>
      <c r="H20" s="34" t="s">
        <v>35</v>
      </c>
      <c r="I20" s="34" t="s">
        <v>36</v>
      </c>
      <c r="J20" s="35" t="s">
        <v>37</v>
      </c>
      <c r="K20" s="35" t="s">
        <v>38</v>
      </c>
      <c r="L20" s="34" t="s">
        <v>39</v>
      </c>
      <c r="M20" s="34" t="s">
        <v>40</v>
      </c>
      <c r="N20" s="34" t="s">
        <v>20</v>
      </c>
      <c r="O20" s="35" t="s">
        <v>21</v>
      </c>
    </row>
    <row r="21" spans="2:16" ht="21.75" customHeight="1" x14ac:dyDescent="0.45">
      <c r="B21" s="17" t="s">
        <v>41</v>
      </c>
      <c r="C21" s="23">
        <v>198</v>
      </c>
      <c r="D21" s="25">
        <f>ROUND(E7*-13.42,0)</f>
        <v>-40</v>
      </c>
      <c r="E21" s="25">
        <f>ROUND(E7*-7.31,0)</f>
        <v>-22</v>
      </c>
      <c r="F21" s="25">
        <f>ROUND(E7*-21.66,0)</f>
        <v>-65</v>
      </c>
      <c r="G21" s="25">
        <f>ROUND(E7*-0.85,0)</f>
        <v>-3</v>
      </c>
      <c r="H21" s="36">
        <f>ROUND(E7*33.46,0)</f>
        <v>100</v>
      </c>
      <c r="I21" s="25">
        <f>ROUND(E7*-0.93,0)</f>
        <v>-3</v>
      </c>
      <c r="J21" s="26">
        <f t="shared" ref="J21:J26" si="0">IF(I21="—","—",C21+I21)</f>
        <v>195</v>
      </c>
      <c r="K21" s="26">
        <f t="shared" ref="K21:K26" si="1">IF(H21="—","—",C21+H21)</f>
        <v>298</v>
      </c>
      <c r="L21" s="37">
        <f>ROUND(E7*32.53,0)</f>
        <v>98</v>
      </c>
      <c r="M21" s="37">
        <f>ROUND(E7*23.43,0)</f>
        <v>70</v>
      </c>
      <c r="N21" s="37">
        <f>ROUND(E7*53.4,0)</f>
        <v>160</v>
      </c>
      <c r="O21" s="28" t="str">
        <f>IF(C21&lt;31,"✗ Too low — extrapolation",IF(C21&lt;=325,"✓ Within historical range",IF(C21&lt;=422,"⚠ High — near observed max","✗ Above observed max — extrapolation")))</f>
        <v>✓ Within historical range</v>
      </c>
      <c r="P21" s="38" t="s">
        <v>42</v>
      </c>
    </row>
    <row r="22" spans="2:16" ht="21.75" customHeight="1" x14ac:dyDescent="0.45">
      <c r="B22" s="17" t="s">
        <v>43</v>
      </c>
      <c r="C22" s="23">
        <v>46</v>
      </c>
      <c r="D22" s="25">
        <f>ROUND(E7*-2.92,0)</f>
        <v>-9</v>
      </c>
      <c r="E22" s="25">
        <f>ROUND(E7*-1.07,0)</f>
        <v>-3</v>
      </c>
      <c r="F22" s="25">
        <f>ROUND(E7*-0.59,0)</f>
        <v>-2</v>
      </c>
      <c r="G22" s="25">
        <f>ROUND(E7*2.44,0)</f>
        <v>7</v>
      </c>
      <c r="H22" s="36">
        <f>ROUND(E7*13.61,0)</f>
        <v>41</v>
      </c>
      <c r="I22" s="25">
        <f>ROUND(E7*4.05,0)</f>
        <v>12</v>
      </c>
      <c r="J22" s="26">
        <f t="shared" si="0"/>
        <v>58</v>
      </c>
      <c r="K22" s="26">
        <f t="shared" si="1"/>
        <v>87</v>
      </c>
      <c r="L22" s="37">
        <f>ROUND(E7*17.66,0)</f>
        <v>53</v>
      </c>
      <c r="M22" s="37">
        <f>ROUND(E7*26.58,0)</f>
        <v>80</v>
      </c>
      <c r="N22" s="37">
        <f>ROUND(E7*32.4,0)</f>
        <v>97</v>
      </c>
      <c r="O22" s="28" t="str">
        <f>IF(C22&lt;5,"✗ Too low — extrapolation",IF(C22&lt;=80,"✓ Within historical range",IF(C22&lt;=149,"⚠ High — near observed max","✗ Above observed max — extrapolation")))</f>
        <v>✓ Within historical range</v>
      </c>
      <c r="P22" s="38" t="s">
        <v>44</v>
      </c>
    </row>
    <row r="23" spans="2:16" ht="21.75" customHeight="1" x14ac:dyDescent="0.45">
      <c r="B23" s="39" t="s">
        <v>45</v>
      </c>
      <c r="C23" s="23">
        <v>410</v>
      </c>
      <c r="D23" s="25">
        <f>ROUND(E7*11.88,0)</f>
        <v>36</v>
      </c>
      <c r="E23" s="25">
        <f>ROUND(E7*-7.05,0)</f>
        <v>-21</v>
      </c>
      <c r="F23" s="25">
        <f>ROUND(E7*15.37,0)</f>
        <v>46</v>
      </c>
      <c r="G23" s="25">
        <f>ROUND(E7*28.81,0)</f>
        <v>86</v>
      </c>
      <c r="H23" s="25">
        <f>ROUND(E7*42.2,0)</f>
        <v>127</v>
      </c>
      <c r="I23" s="25">
        <f>ROUND(E7*52.18,0)</f>
        <v>157</v>
      </c>
      <c r="J23" s="26">
        <f t="shared" si="0"/>
        <v>567</v>
      </c>
      <c r="K23" s="26">
        <f t="shared" si="1"/>
        <v>537</v>
      </c>
      <c r="L23" s="37">
        <f>ROUND(E7*94.38,0)</f>
        <v>283</v>
      </c>
      <c r="M23" s="37">
        <f>ROUND(E7*181.58,0)</f>
        <v>545</v>
      </c>
      <c r="N23" s="37">
        <f>ROUND(E7*43.5,0)</f>
        <v>131</v>
      </c>
      <c r="O23" s="28" t="str">
        <f>IF(C23&lt;76,"✗ Too low — extrapolation",IF(C23&lt;=649,"✓ Within historical range",IF(C23&lt;=730,"⚠ High — near observed max","✗ Above observed max — extrapolation")))</f>
        <v>✓ Within historical range</v>
      </c>
      <c r="P23" s="38" t="s">
        <v>46</v>
      </c>
    </row>
    <row r="24" spans="2:16" ht="21.75" customHeight="1" x14ac:dyDescent="0.45">
      <c r="B24" s="40" t="s">
        <v>47</v>
      </c>
      <c r="C24" s="23">
        <v>122</v>
      </c>
      <c r="D24" s="25">
        <f>ROUND(E9*-0.76,0)</f>
        <v>-2</v>
      </c>
      <c r="E24" s="25">
        <f>ROUND(E9*2.2,0)</f>
        <v>7</v>
      </c>
      <c r="F24" s="25">
        <f>ROUND(E9*-8.06,0)</f>
        <v>-24</v>
      </c>
      <c r="G24" s="25">
        <f>ROUND(E9*-5.48,0)</f>
        <v>-16</v>
      </c>
      <c r="H24" s="25">
        <f>ROUND(E9*2.34,0)</f>
        <v>7</v>
      </c>
      <c r="I24" s="25">
        <f>ROUND(E9*10.32,0)</f>
        <v>31</v>
      </c>
      <c r="J24" s="26">
        <f t="shared" si="0"/>
        <v>153</v>
      </c>
      <c r="K24" s="26">
        <f t="shared" si="1"/>
        <v>129</v>
      </c>
      <c r="L24" s="41">
        <f>ROUND(E9*12.66,0)</f>
        <v>38</v>
      </c>
      <c r="M24" s="41">
        <f>ROUND(E9*12.67,0)</f>
        <v>38</v>
      </c>
      <c r="N24" s="41">
        <f>ROUND(E9*5.7,0)</f>
        <v>17</v>
      </c>
      <c r="O24" s="28" t="str">
        <f>IF(C24&lt;21,"✗ Too low — extrapolation",IF(C24&lt;=202,"✓ Within historical range",IF(C24&lt;=307,"⚠ High — near observed max","✗ Above observed max — extrapolation")))</f>
        <v>✓ Within historical range</v>
      </c>
      <c r="P24" s="42" t="s">
        <v>48</v>
      </c>
    </row>
    <row r="25" spans="2:16" ht="21.75" customHeight="1" x14ac:dyDescent="0.45">
      <c r="B25" s="40" t="s">
        <v>49</v>
      </c>
      <c r="C25" s="23">
        <v>42</v>
      </c>
      <c r="D25" s="25">
        <f>ROUND(E9*0.47,0)</f>
        <v>1</v>
      </c>
      <c r="E25" s="25">
        <f>ROUND(E9*0.43,0)</f>
        <v>1</v>
      </c>
      <c r="F25" s="25">
        <f>ROUND(E9*-5.35,0)</f>
        <v>-16</v>
      </c>
      <c r="G25" s="25">
        <f>ROUND(E9*0.45,0)</f>
        <v>1</v>
      </c>
      <c r="H25" s="25">
        <f>ROUND(E9*-1.24,0)</f>
        <v>-4</v>
      </c>
      <c r="I25" s="25">
        <f>ROUND(E9*0.91,0)</f>
        <v>3</v>
      </c>
      <c r="J25" s="26">
        <f t="shared" si="0"/>
        <v>45</v>
      </c>
      <c r="K25" s="26">
        <f t="shared" si="1"/>
        <v>38</v>
      </c>
      <c r="L25" s="41">
        <f>ROUND(E9*-0.33,0)</f>
        <v>-1</v>
      </c>
      <c r="M25" s="41">
        <f>ROUND(E9*4.03,0)</f>
        <v>12</v>
      </c>
      <c r="N25" s="41">
        <f>ROUND(E9*-8,0)</f>
        <v>-24</v>
      </c>
      <c r="O25" s="28" t="str">
        <f>IF(C25&lt;4,"✗ Too low — extrapolation",IF(C25&lt;=74,"✓ Within historical range",IF(C25&lt;=163,"⚠ High — near observed max","✗ Above observed max — extrapolation")))</f>
        <v>✓ Within historical range</v>
      </c>
      <c r="P25" s="42" t="s">
        <v>50</v>
      </c>
    </row>
    <row r="26" spans="2:16" ht="21.75" customHeight="1" x14ac:dyDescent="0.45">
      <c r="B26" s="18" t="s">
        <v>51</v>
      </c>
      <c r="C26" s="23">
        <v>431</v>
      </c>
      <c r="D26" s="25">
        <f>ROUND(E9*15.05,0)</f>
        <v>45</v>
      </c>
      <c r="E26" s="25">
        <f>ROUND(E9*18.16,0)</f>
        <v>54</v>
      </c>
      <c r="F26" s="25">
        <f>ROUND(E9*27.92,0)</f>
        <v>84</v>
      </c>
      <c r="G26" s="25">
        <f>ROUND(E9*11.64,0)</f>
        <v>35</v>
      </c>
      <c r="H26" s="25">
        <f>ROUND(E9*33.97,0)</f>
        <v>102</v>
      </c>
      <c r="I26" s="36">
        <f>ROUND(E9*44.03,0)</f>
        <v>132</v>
      </c>
      <c r="J26" s="26">
        <f t="shared" si="0"/>
        <v>563</v>
      </c>
      <c r="K26" s="26">
        <f t="shared" si="1"/>
        <v>533</v>
      </c>
      <c r="L26" s="41">
        <f>ROUND(E9*78,0)</f>
        <v>234</v>
      </c>
      <c r="M26" s="41">
        <f>ROUND(E9*162.96,0)</f>
        <v>489</v>
      </c>
      <c r="N26" s="41">
        <f>ROUND(E9*348.6,0)</f>
        <v>1046</v>
      </c>
      <c r="O26" s="28" t="str">
        <f>IF(C26&lt;98,"✗ Too low — extrapolation",IF(C26&lt;=657,"✓ Within historical range",IF(C26&lt;=784,"⚠ High — near observed max","✗ Above observed max — extrapolation")))</f>
        <v>✓ Within historical range</v>
      </c>
      <c r="P26" s="42" t="s">
        <v>52</v>
      </c>
    </row>
    <row r="28" spans="2:16" ht="7.5" customHeight="1" x14ac:dyDescent="0.45"/>
    <row r="29" spans="2:16" ht="21.75" customHeight="1" x14ac:dyDescent="0.45">
      <c r="B29" s="4" t="s">
        <v>53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2:16" ht="21.75" customHeight="1" x14ac:dyDescent="0.45">
      <c r="B30" s="3" t="s">
        <v>54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2:16" ht="21.75" customHeight="1" x14ac:dyDescent="0.45">
      <c r="B31" s="2" t="s">
        <v>55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2:16" ht="21.75" customHeight="1" x14ac:dyDescent="0.45">
      <c r="B32" s="1" t="s">
        <v>56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</sheetData>
  <mergeCells count="12">
    <mergeCell ref="B31:N31"/>
    <mergeCell ref="B32:N32"/>
    <mergeCell ref="B10:P10"/>
    <mergeCell ref="B12:N12"/>
    <mergeCell ref="B19:N19"/>
    <mergeCell ref="B29:N29"/>
    <mergeCell ref="B30:N30"/>
    <mergeCell ref="B3:N3"/>
    <mergeCell ref="B6:D6"/>
    <mergeCell ref="B7:D7"/>
    <mergeCell ref="B8:D8"/>
    <mergeCell ref="B9:D9"/>
  </mergeCells>
  <conditionalFormatting sqref="O14:O17">
    <cfRule type="expression" dxfId="5" priority="2">
      <formula>NOT(ISERROR(FIND("✓",O14)))</formula>
    </cfRule>
    <cfRule type="expression" dxfId="4" priority="3">
      <formula>NOT(ISERROR(FIND("⚠",O14)))</formula>
    </cfRule>
    <cfRule type="expression" dxfId="3" priority="4">
      <formula>NOT(ISERROR(FIND("✗",O14)))</formula>
    </cfRule>
  </conditionalFormatting>
  <conditionalFormatting sqref="O21:O26">
    <cfRule type="expression" dxfId="2" priority="14">
      <formula>NOT(ISERROR(FIND("✓",O21)))</formula>
    </cfRule>
    <cfRule type="expression" dxfId="1" priority="15">
      <formula>NOT(ISERROR(FIND("⚠",O21)))</formula>
    </cfRule>
    <cfRule type="expression" dxfId="0" priority="16">
      <formula>NOT(ISERROR(FIND("✗",O21)))</formula>
    </cfRule>
  </conditionalFormatting>
  <dataValidations count="1">
    <dataValidation type="whole" sqref="E6:E9" xr:uid="{00000000-0002-0000-0000-000000000000}">
      <formula1>0</formula1>
      <formula2>10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563EB"/>
  </sheetPr>
  <dimension ref="B2:S15"/>
  <sheetViews>
    <sheetView showGridLines="0" zoomScaleNormal="100" workbookViewId="0">
      <selection activeCell="B14" sqref="B14"/>
    </sheetView>
  </sheetViews>
  <sheetFormatPr defaultColWidth="8.6640625" defaultRowHeight="14.25" x14ac:dyDescent="0.45"/>
  <cols>
    <col min="1" max="1" width="2" customWidth="1"/>
    <col min="2" max="2" width="28" customWidth="1"/>
    <col min="3" max="3" width="18" customWidth="1"/>
    <col min="4" max="4" width="12" customWidth="1"/>
    <col min="5" max="5" width="14" customWidth="1"/>
    <col min="6" max="15" width="9" customWidth="1"/>
    <col min="16" max="16" width="10" customWidth="1"/>
    <col min="17" max="17" width="12" customWidth="1"/>
    <col min="18" max="18" width="10" customWidth="1"/>
    <col min="19" max="19" width="8" customWidth="1"/>
  </cols>
  <sheetData>
    <row r="2" spans="2:19" ht="15.75" customHeight="1" x14ac:dyDescent="0.45">
      <c r="B2" s="13" t="s">
        <v>57</v>
      </c>
    </row>
    <row r="3" spans="2:19" ht="27.75" customHeight="1" x14ac:dyDescent="0.45">
      <c r="B3" s="12" t="s">
        <v>58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5" spans="2:19" ht="27.75" customHeight="1" x14ac:dyDescent="0.45">
      <c r="B5" s="43" t="s">
        <v>8</v>
      </c>
      <c r="C5" s="43" t="s">
        <v>59</v>
      </c>
      <c r="D5" s="43" t="s">
        <v>60</v>
      </c>
      <c r="E5" s="43" t="s">
        <v>61</v>
      </c>
      <c r="F5" s="43" t="s">
        <v>62</v>
      </c>
      <c r="G5" s="43" t="s">
        <v>63</v>
      </c>
      <c r="H5" s="43" t="s">
        <v>64</v>
      </c>
      <c r="I5" s="43" t="s">
        <v>65</v>
      </c>
      <c r="J5" s="43" t="s">
        <v>66</v>
      </c>
      <c r="K5" s="43" t="s">
        <v>67</v>
      </c>
      <c r="L5" s="43" t="s">
        <v>68</v>
      </c>
      <c r="M5" s="43" t="s">
        <v>69</v>
      </c>
      <c r="N5" s="43" t="s">
        <v>70</v>
      </c>
      <c r="O5" s="43" t="s">
        <v>71</v>
      </c>
      <c r="P5" s="43" t="s">
        <v>72</v>
      </c>
      <c r="Q5" s="43" t="s">
        <v>73</v>
      </c>
      <c r="R5" s="43" t="s">
        <v>74</v>
      </c>
      <c r="S5" s="43" t="s">
        <v>75</v>
      </c>
    </row>
    <row r="6" spans="2:19" ht="19.5" customHeight="1" x14ac:dyDescent="0.45">
      <c r="B6" s="15" t="s">
        <v>83</v>
      </c>
      <c r="C6" s="44" t="s">
        <v>76</v>
      </c>
      <c r="D6" s="45">
        <v>642</v>
      </c>
      <c r="E6" s="46" t="s">
        <v>77</v>
      </c>
      <c r="F6" s="47">
        <v>91.94</v>
      </c>
      <c r="G6" s="47">
        <v>90.3</v>
      </c>
      <c r="H6" s="48">
        <v>51.01</v>
      </c>
      <c r="I6" s="48">
        <v>-66.819999999999993</v>
      </c>
      <c r="J6" s="48">
        <v>-40.380000000000003</v>
      </c>
      <c r="K6" s="48">
        <v>-54</v>
      </c>
      <c r="L6" s="49" t="s">
        <v>78</v>
      </c>
      <c r="M6" s="49" t="s">
        <v>78</v>
      </c>
      <c r="N6" s="49" t="s">
        <v>78</v>
      </c>
      <c r="O6" s="49" t="s">
        <v>78</v>
      </c>
      <c r="P6" s="50">
        <v>182.24</v>
      </c>
      <c r="Q6" s="50">
        <v>166.42</v>
      </c>
      <c r="R6" s="50">
        <v>215.1</v>
      </c>
      <c r="S6" s="51">
        <v>0.31</v>
      </c>
    </row>
    <row r="7" spans="2:19" ht="19.5" customHeight="1" x14ac:dyDescent="0.45">
      <c r="B7" s="17" t="s">
        <v>82</v>
      </c>
      <c r="C7" s="52" t="s">
        <v>79</v>
      </c>
      <c r="D7" s="53">
        <v>198</v>
      </c>
      <c r="E7" s="54" t="s">
        <v>80</v>
      </c>
      <c r="F7" s="48">
        <v>-0.93</v>
      </c>
      <c r="G7" s="55">
        <v>33.46</v>
      </c>
      <c r="H7" s="48">
        <v>-0.85</v>
      </c>
      <c r="I7" s="48">
        <v>-21.66</v>
      </c>
      <c r="J7" s="48">
        <v>-7.31</v>
      </c>
      <c r="K7" s="48">
        <v>-13.42</v>
      </c>
      <c r="L7" s="48">
        <v>21.12</v>
      </c>
      <c r="M7" s="48">
        <v>13.03</v>
      </c>
      <c r="N7" s="48">
        <v>28.62</v>
      </c>
      <c r="O7" s="48">
        <v>4.4400000000000004</v>
      </c>
      <c r="P7" s="56">
        <v>32.53</v>
      </c>
      <c r="Q7" s="56">
        <v>23.43</v>
      </c>
      <c r="R7" s="56">
        <v>53.4</v>
      </c>
      <c r="S7" s="57">
        <v>0.19900000000000001</v>
      </c>
    </row>
    <row r="8" spans="2:19" ht="19.5" customHeight="1" x14ac:dyDescent="0.45">
      <c r="B8" s="17" t="s">
        <v>81</v>
      </c>
      <c r="C8" s="52" t="s">
        <v>79</v>
      </c>
      <c r="D8" s="53">
        <v>46</v>
      </c>
      <c r="E8" s="54" t="s">
        <v>80</v>
      </c>
      <c r="F8" s="48">
        <v>4.05</v>
      </c>
      <c r="G8" s="55">
        <v>13.61</v>
      </c>
      <c r="H8" s="48">
        <v>2.44</v>
      </c>
      <c r="I8" s="48">
        <v>-0.59</v>
      </c>
      <c r="J8" s="48">
        <v>-1.07</v>
      </c>
      <c r="K8" s="48">
        <v>-2.92</v>
      </c>
      <c r="L8" s="48">
        <v>8.01</v>
      </c>
      <c r="M8" s="48">
        <v>3.05</v>
      </c>
      <c r="N8" s="48">
        <v>4.83</v>
      </c>
      <c r="O8" s="48">
        <v>0.43</v>
      </c>
      <c r="P8" s="56">
        <v>17.66</v>
      </c>
      <c r="Q8" s="56">
        <v>26.58</v>
      </c>
      <c r="R8" s="56">
        <v>32.4</v>
      </c>
      <c r="S8" s="57">
        <v>0.26800000000000002</v>
      </c>
    </row>
    <row r="9" spans="2:19" ht="19.5" customHeight="1" x14ac:dyDescent="0.45">
      <c r="B9" s="39" t="s">
        <v>84</v>
      </c>
      <c r="C9" s="52" t="s">
        <v>79</v>
      </c>
      <c r="D9" s="53">
        <v>410</v>
      </c>
      <c r="E9" s="54" t="s">
        <v>80</v>
      </c>
      <c r="F9" s="48">
        <v>52.18</v>
      </c>
      <c r="G9" s="48">
        <v>42.2</v>
      </c>
      <c r="H9" s="48">
        <v>28.81</v>
      </c>
      <c r="I9" s="48">
        <v>15.37</v>
      </c>
      <c r="J9" s="48">
        <v>-7.05</v>
      </c>
      <c r="K9" s="48">
        <v>11.88</v>
      </c>
      <c r="L9" s="48">
        <v>-4.49</v>
      </c>
      <c r="M9" s="48">
        <v>42.68</v>
      </c>
      <c r="N9" s="48">
        <v>22.61</v>
      </c>
      <c r="O9" s="48">
        <v>-18.97</v>
      </c>
      <c r="P9" s="56">
        <v>94.38</v>
      </c>
      <c r="Q9" s="56">
        <v>181.58</v>
      </c>
      <c r="R9" s="56">
        <v>43.5</v>
      </c>
      <c r="S9" s="57">
        <v>0.14399999999999999</v>
      </c>
    </row>
    <row r="10" spans="2:19" ht="19.5" customHeight="1" x14ac:dyDescent="0.45">
      <c r="B10" s="30" t="s">
        <v>85</v>
      </c>
      <c r="C10" s="44" t="s">
        <v>76</v>
      </c>
      <c r="D10" s="45">
        <v>89</v>
      </c>
      <c r="E10" s="46" t="s">
        <v>77</v>
      </c>
      <c r="F10" s="48">
        <v>-2.4700000000000002</v>
      </c>
      <c r="G10" s="48">
        <v>9.94</v>
      </c>
      <c r="H10" s="48">
        <v>2.08</v>
      </c>
      <c r="I10" s="48">
        <v>-3.35</v>
      </c>
      <c r="J10" s="48">
        <v>-7.74</v>
      </c>
      <c r="K10" s="48">
        <v>5.0199999999999996</v>
      </c>
      <c r="L10" s="49" t="s">
        <v>78</v>
      </c>
      <c r="M10" s="49" t="s">
        <v>78</v>
      </c>
      <c r="N10" s="49" t="s">
        <v>78</v>
      </c>
      <c r="O10" s="49" t="s">
        <v>78</v>
      </c>
      <c r="P10" s="50">
        <v>7.47</v>
      </c>
      <c r="Q10" s="50">
        <v>6.2</v>
      </c>
      <c r="R10" s="50">
        <v>-7</v>
      </c>
      <c r="S10" s="51">
        <v>5.8000000000000003E-2</v>
      </c>
    </row>
    <row r="11" spans="2:19" ht="19.5" customHeight="1" x14ac:dyDescent="0.45">
      <c r="B11" s="31" t="s">
        <v>86</v>
      </c>
      <c r="C11" s="58" t="s">
        <v>76</v>
      </c>
      <c r="D11" s="59">
        <v>658</v>
      </c>
      <c r="E11" s="60" t="s">
        <v>77</v>
      </c>
      <c r="F11" s="48">
        <v>36.47</v>
      </c>
      <c r="G11" s="48">
        <v>34.83</v>
      </c>
      <c r="H11" s="48">
        <v>4.7699999999999996</v>
      </c>
      <c r="I11" s="48">
        <v>-11.17</v>
      </c>
      <c r="J11" s="48">
        <v>9.91</v>
      </c>
      <c r="K11" s="48">
        <v>19.350000000000001</v>
      </c>
      <c r="L11" s="49" t="s">
        <v>78</v>
      </c>
      <c r="M11" s="49" t="s">
        <v>78</v>
      </c>
      <c r="N11" s="49" t="s">
        <v>78</v>
      </c>
      <c r="O11" s="49" t="s">
        <v>78</v>
      </c>
      <c r="P11" s="61">
        <v>71.3</v>
      </c>
      <c r="Q11" s="61">
        <v>64.91</v>
      </c>
      <c r="R11" s="61">
        <v>59</v>
      </c>
      <c r="S11" s="62">
        <v>0.17199999999999999</v>
      </c>
    </row>
    <row r="12" spans="2:19" ht="19.5" customHeight="1" x14ac:dyDescent="0.45">
      <c r="B12" s="40" t="s">
        <v>87</v>
      </c>
      <c r="C12" s="63" t="s">
        <v>79</v>
      </c>
      <c r="D12" s="64">
        <v>122</v>
      </c>
      <c r="E12" s="65" t="s">
        <v>80</v>
      </c>
      <c r="F12" s="48">
        <v>10.32</v>
      </c>
      <c r="G12" s="48">
        <v>2.34</v>
      </c>
      <c r="H12" s="48">
        <v>-5.48</v>
      </c>
      <c r="I12" s="48">
        <v>-8.06</v>
      </c>
      <c r="J12" s="48">
        <v>2.2000000000000002</v>
      </c>
      <c r="K12" s="48">
        <v>-0.76</v>
      </c>
      <c r="L12" s="48">
        <v>7.96</v>
      </c>
      <c r="M12" s="48">
        <v>4.1500000000000004</v>
      </c>
      <c r="N12" s="48">
        <v>-0.19</v>
      </c>
      <c r="O12" s="48">
        <v>-12.86</v>
      </c>
      <c r="P12" s="66">
        <v>12.66</v>
      </c>
      <c r="Q12" s="66">
        <v>12.67</v>
      </c>
      <c r="R12" s="66">
        <v>5.7</v>
      </c>
      <c r="S12" s="67">
        <v>0.18099999999999999</v>
      </c>
    </row>
    <row r="13" spans="2:19" ht="19.5" customHeight="1" x14ac:dyDescent="0.45">
      <c r="B13" s="40" t="s">
        <v>88</v>
      </c>
      <c r="C13" s="63" t="s">
        <v>79</v>
      </c>
      <c r="D13" s="64">
        <v>42</v>
      </c>
      <c r="E13" s="65" t="s">
        <v>80</v>
      </c>
      <c r="F13" s="48">
        <v>0.91</v>
      </c>
      <c r="G13" s="48">
        <v>-1.24</v>
      </c>
      <c r="H13" s="48">
        <v>0.45</v>
      </c>
      <c r="I13" s="48">
        <v>-5.35</v>
      </c>
      <c r="J13" s="48">
        <v>0.43</v>
      </c>
      <c r="K13" s="48">
        <v>0.47</v>
      </c>
      <c r="L13" s="48">
        <v>5.05</v>
      </c>
      <c r="M13" s="48">
        <v>3.31</v>
      </c>
      <c r="N13" s="48">
        <v>3.7</v>
      </c>
      <c r="O13" s="48">
        <v>-4.71</v>
      </c>
      <c r="P13" s="66">
        <v>-0.33</v>
      </c>
      <c r="Q13" s="66">
        <v>4.03</v>
      </c>
      <c r="R13" s="66">
        <v>-8</v>
      </c>
      <c r="S13" s="67">
        <v>0.23300000000000001</v>
      </c>
    </row>
    <row r="14" spans="2:19" ht="19.5" customHeight="1" x14ac:dyDescent="0.45">
      <c r="B14" s="18" t="s">
        <v>89</v>
      </c>
      <c r="C14" s="63" t="s">
        <v>79</v>
      </c>
      <c r="D14" s="64">
        <v>431</v>
      </c>
      <c r="E14" s="65" t="s">
        <v>80</v>
      </c>
      <c r="F14" s="55">
        <v>44.03</v>
      </c>
      <c r="G14" s="48">
        <v>33.97</v>
      </c>
      <c r="H14" s="48">
        <v>11.64</v>
      </c>
      <c r="I14" s="48">
        <v>27.92</v>
      </c>
      <c r="J14" s="48">
        <v>18.16</v>
      </c>
      <c r="K14" s="48">
        <v>15.05</v>
      </c>
      <c r="L14" s="48">
        <v>-34.869999999999997</v>
      </c>
      <c r="M14" s="48">
        <v>47.06</v>
      </c>
      <c r="N14" s="55">
        <v>74.040000000000006</v>
      </c>
      <c r="O14" s="55">
        <v>59.55</v>
      </c>
      <c r="P14" s="66">
        <v>78</v>
      </c>
      <c r="Q14" s="66">
        <v>162.96</v>
      </c>
      <c r="R14" s="66">
        <v>348.6</v>
      </c>
      <c r="S14" s="67">
        <v>0.25900000000000001</v>
      </c>
    </row>
    <row r="15" spans="2:19" ht="19.5" customHeight="1" x14ac:dyDescent="0.45">
      <c r="B15" s="31" t="s">
        <v>90</v>
      </c>
      <c r="C15" s="58" t="s">
        <v>76</v>
      </c>
      <c r="D15" s="59">
        <v>55</v>
      </c>
      <c r="E15" s="60" t="s">
        <v>77</v>
      </c>
      <c r="F15" s="48">
        <v>2.4300000000000002</v>
      </c>
      <c r="G15" s="48">
        <v>2.91</v>
      </c>
      <c r="H15" s="48">
        <v>-0.39</v>
      </c>
      <c r="I15" s="48">
        <v>-0.91</v>
      </c>
      <c r="J15" s="48">
        <v>0.56000000000000005</v>
      </c>
      <c r="K15" s="48">
        <v>-2.0699999999999998</v>
      </c>
      <c r="L15" s="49" t="s">
        <v>78</v>
      </c>
      <c r="M15" s="49" t="s">
        <v>78</v>
      </c>
      <c r="N15" s="49" t="s">
        <v>78</v>
      </c>
      <c r="O15" s="49" t="s">
        <v>78</v>
      </c>
      <c r="P15" s="61">
        <v>5.34</v>
      </c>
      <c r="Q15" s="61">
        <v>4.04</v>
      </c>
      <c r="R15" s="61">
        <v>2.2999999999999998</v>
      </c>
      <c r="S15" s="62">
        <v>6.9000000000000006E-2</v>
      </c>
    </row>
  </sheetData>
  <mergeCells count="1">
    <mergeCell ref="B3:Q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 Calculator</vt:lpstr>
      <vt:lpstr>Coefficient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Elnaz Irannezhad</cp:lastModifiedBy>
  <cp:revision>0</cp:revision>
  <dcterms:created xsi:type="dcterms:W3CDTF">2026-06-06T06:56:49Z</dcterms:created>
  <dcterms:modified xsi:type="dcterms:W3CDTF">2026-06-06T07:21:34Z</dcterms:modified>
  <dc:language>en-US</dc:language>
</cp:coreProperties>
</file>